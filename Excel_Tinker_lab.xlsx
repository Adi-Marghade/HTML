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<sst xmlns="http://schemas.openxmlformats.org/spreadsheetml/2006/main" count="56" uniqueCount="41">
  <si>
    <t>Roll no</t>
  </si>
  <si>
    <t xml:space="preserve">Name </t>
  </si>
  <si>
    <t>Maths</t>
  </si>
  <si>
    <t>Science</t>
  </si>
  <si>
    <t>History</t>
  </si>
  <si>
    <t xml:space="preserve">English </t>
  </si>
  <si>
    <t>Computer</t>
  </si>
  <si>
    <t>TINKER</t>
  </si>
  <si>
    <t>Total</t>
  </si>
  <si>
    <t>Percentage</t>
  </si>
  <si>
    <t>Result</t>
  </si>
  <si>
    <t>DISTINCTION</t>
  </si>
  <si>
    <t xml:space="preserve">Topper list </t>
  </si>
  <si>
    <t>Class</t>
  </si>
  <si>
    <t>Adwait</t>
  </si>
  <si>
    <t>A</t>
  </si>
  <si>
    <t>Shreyash</t>
  </si>
  <si>
    <t>Om</t>
  </si>
  <si>
    <t>B</t>
  </si>
  <si>
    <t>Aaditya</t>
  </si>
  <si>
    <t>E</t>
  </si>
  <si>
    <t>Virat</t>
  </si>
  <si>
    <t>C</t>
  </si>
  <si>
    <t>Karan</t>
  </si>
  <si>
    <t>Mangaya</t>
  </si>
  <si>
    <t>F</t>
  </si>
  <si>
    <t>Kanhaiya</t>
  </si>
  <si>
    <t>Arpan</t>
  </si>
  <si>
    <t>Raj</t>
  </si>
  <si>
    <t>Yash</t>
  </si>
  <si>
    <t>Salman</t>
  </si>
  <si>
    <t>Pranjal</t>
  </si>
  <si>
    <t>Jumbo</t>
  </si>
  <si>
    <t>Harshad</t>
  </si>
  <si>
    <t>Aryan</t>
  </si>
  <si>
    <t>Shivam</t>
  </si>
  <si>
    <t>Rahul</t>
  </si>
  <si>
    <t>D</t>
  </si>
  <si>
    <t xml:space="preserve"> </t>
  </si>
  <si>
    <t>z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</si>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</sst>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sz val="11.0"/>
      <color/>
      <name val="Calibri"/>
    </font>
    <font>
      <sz val="11.0"/>
      <color rgb="FF9C65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3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2" numFmtId="0" xfId="0" applyBorder="1" applyFont="1"/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2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C55A11"/>
          <bgColor rgb="FFC55A11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  <dxf>
      <font/>
      <fill>
        <patternFill patternType="solid">
          <fgColor rgb="FFCCFFFF"/>
          <bgColor rgb="FFCCFFFF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66FF99"/>
          <bgColor rgb="FF66FF99"/>
        </patternFill>
      </fill>
      <border/>
    </dxf>
    <dxf>
      <font/>
      <fill>
        <patternFill patternType="solid">
          <fgColor rgb="FF99FFCC"/>
          <bgColor rgb="FF99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73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3" t="s">
        <v>12</v>
      </c>
      <c r="O1" s="3" t="s">
        <v>13</v>
      </c>
    </row>
    <row r="2">
      <c r="A2">
        <v>2.5070521169E10</v>
      </c>
      <c r="B2" t="s">
        <v>14</v>
      </c>
      <c r="C2">
        <v>100.0</v>
      </c>
      <c r="D2">
        <v>100.0</v>
      </c>
      <c r="E2">
        <v>67.0</v>
      </c>
      <c r="F2">
        <v>84.0</v>
      </c>
      <c r="G2">
        <v>85.0</v>
      </c>
      <c r="H2" t="s">
        <v>15</v>
      </c>
      <c r="I2" t="str">
        <f t="shared" ref="I2:I19" si="1">SUM(C2:G2)</f>
        <v>436</v>
      </c>
      <c r="J2" t="str">
        <f t="shared" ref="J2:J19" si="2">AVERAGE(C2:G2)</f>
        <v>87.2</v>
      </c>
      <c r="K2" t="str">
        <f t="shared" ref="K2:K19" si="3">IF(AND(C2&gt;=D504&gt;=E504&gt;=F504&gt;=G504&gt;=50,OR(H2="A",H2="B",H2="C")),"PASS","FAIL")</f>
        <v>PASS</v>
      </c>
      <c r="L2" t="str">
        <f>IF(J3&gt;=75,"DISTINCTION","BELOW DISTINCTION")</f>
        <v>DISTINCTION</v>
      </c>
      <c r="N2">
        <v>1.0</v>
      </c>
      <c r="O2" t="str">
        <f t="shared" ref="O2:O19" si="4">IF(AND(J2&gt;75,J2&lt;100,K2="PASS"),"1ST DIVISION"," ")</f>
        <v>1ST DIVISION</v>
      </c>
    </row>
    <row r="3">
      <c r="A3">
        <v>2.5070521171E10</v>
      </c>
      <c r="B3" t="s">
        <v>16</v>
      </c>
      <c r="C3" s="4">
        <v>86.0</v>
      </c>
      <c r="D3">
        <v>76.0</v>
      </c>
      <c r="E3">
        <v>87.0</v>
      </c>
      <c r="F3">
        <v>72.0</v>
      </c>
      <c r="G3">
        <v>96.0</v>
      </c>
      <c r="H3" t="s">
        <v>15</v>
      </c>
      <c r="I3" t="str">
        <f t="shared" si="1"/>
        <v>417</v>
      </c>
      <c r="J3" t="str">
        <f t="shared" si="2"/>
        <v>83.4</v>
      </c>
      <c r="K3" t="str">
        <f t="shared" si="3"/>
        <v>PASS</v>
      </c>
      <c r="L3" t="str">
        <f t="shared" ref="L3:L19" si="5">IF(J3&gt;=75,"DISTINCTION","BELOW DISTINCTION")</f>
        <v>DISTINCTION</v>
      </c>
      <c r="N3">
        <v>2.0</v>
      </c>
      <c r="O3" t="str">
        <f t="shared" si="4"/>
        <v>1ST DIVISION</v>
      </c>
    </row>
    <row r="4">
      <c r="A4">
        <v>2.507052117E10</v>
      </c>
      <c r="B4" t="s">
        <v>17</v>
      </c>
      <c r="C4">
        <v>77.0</v>
      </c>
      <c r="D4">
        <v>65.0</v>
      </c>
      <c r="E4">
        <v>100.0</v>
      </c>
      <c r="F4">
        <v>100.0</v>
      </c>
      <c r="G4">
        <v>58.0</v>
      </c>
      <c r="H4" t="s">
        <v>18</v>
      </c>
      <c r="I4" t="str">
        <f t="shared" si="1"/>
        <v>400</v>
      </c>
      <c r="J4" t="str">
        <f t="shared" si="2"/>
        <v>80</v>
      </c>
      <c r="K4" t="str">
        <f t="shared" si="3"/>
        <v>PASS</v>
      </c>
      <c r="L4" t="str">
        <f t="shared" si="5"/>
        <v>DISTINCTION</v>
      </c>
      <c r="N4">
        <v>3.0</v>
      </c>
      <c r="O4" t="str">
        <f t="shared" si="4"/>
        <v>1ST DIVISION</v>
      </c>
    </row>
    <row r="5">
      <c r="A5">
        <v>2.5070521175E10</v>
      </c>
      <c r="B5" t="s">
        <v>19</v>
      </c>
      <c r="C5">
        <v>65.0</v>
      </c>
      <c r="D5">
        <v>87.0</v>
      </c>
      <c r="E5" s="4">
        <v>70.0</v>
      </c>
      <c r="F5">
        <v>64.0</v>
      </c>
      <c r="G5">
        <v>75.0</v>
      </c>
      <c r="H5" t="s">
        <v>20</v>
      </c>
      <c r="I5" t="str">
        <f t="shared" si="1"/>
        <v>361</v>
      </c>
      <c r="J5" t="str">
        <f t="shared" si="2"/>
        <v>72.2</v>
      </c>
      <c r="K5" t="str">
        <f t="shared" si="3"/>
        <v>FAIL</v>
      </c>
      <c r="L5" t="str">
        <f t="shared" si="5"/>
        <v>BELOW DISTINCTION</v>
      </c>
      <c r="N5">
        <v>4.0</v>
      </c>
      <c r="O5" t="str">
        <f t="shared" si="4"/>
        <v> </v>
      </c>
    </row>
    <row r="6">
      <c r="A6">
        <v>2.507052118E10</v>
      </c>
      <c r="B6" t="s">
        <v>21</v>
      </c>
      <c r="C6">
        <v>100.0</v>
      </c>
      <c r="D6">
        <v>65.0</v>
      </c>
      <c r="E6">
        <v>77.0</v>
      </c>
      <c r="F6">
        <v>65.0</v>
      </c>
      <c r="G6">
        <v>77.0</v>
      </c>
      <c r="H6" t="s">
        <v>22</v>
      </c>
      <c r="I6" t="str">
        <f t="shared" si="1"/>
        <v>384</v>
      </c>
      <c r="J6" t="str">
        <f t="shared" si="2"/>
        <v>76.8</v>
      </c>
      <c r="K6" t="str">
        <f t="shared" si="3"/>
        <v>PASS</v>
      </c>
      <c r="L6" t="str">
        <f t="shared" si="5"/>
        <v>DISTINCTION</v>
      </c>
      <c r="N6">
        <v>18.0</v>
      </c>
      <c r="O6" t="str">
        <f t="shared" si="4"/>
        <v>1ST DIVISION</v>
      </c>
    </row>
    <row r="7">
      <c r="A7">
        <v>2.5070521185E10</v>
      </c>
      <c r="B7" t="s">
        <v>23</v>
      </c>
      <c r="C7">
        <v>82.0</v>
      </c>
      <c r="D7">
        <v>87.0</v>
      </c>
      <c r="E7">
        <v>52.0</v>
      </c>
      <c r="F7">
        <v>74.0</v>
      </c>
      <c r="G7">
        <v>83.0</v>
      </c>
      <c r="H7" t="s">
        <v>20</v>
      </c>
      <c r="I7" t="str">
        <f t="shared" si="1"/>
        <v>378</v>
      </c>
      <c r="J7" t="str">
        <f t="shared" si="2"/>
        <v>75.6</v>
      </c>
      <c r="K7" t="str">
        <f t="shared" si="3"/>
        <v>FAIL</v>
      </c>
      <c r="L7" t="str">
        <f t="shared" si="5"/>
        <v>DISTINCTION</v>
      </c>
      <c r="N7">
        <v>5.0</v>
      </c>
      <c r="O7" t="str">
        <f t="shared" si="4"/>
        <v> </v>
      </c>
    </row>
    <row r="8">
      <c r="A8">
        <v>2.5070521172E10</v>
      </c>
      <c r="B8" t="s">
        <v>24</v>
      </c>
      <c r="C8">
        <v>84.0</v>
      </c>
      <c r="D8">
        <v>43.0</v>
      </c>
      <c r="E8" s="4">
        <v>80.0</v>
      </c>
      <c r="F8">
        <v>86.0</v>
      </c>
      <c r="G8">
        <v>85.0</v>
      </c>
      <c r="H8" t="s">
        <v>25</v>
      </c>
      <c r="I8" t="str">
        <f t="shared" si="1"/>
        <v>378</v>
      </c>
      <c r="J8" t="str">
        <f t="shared" si="2"/>
        <v>75.6</v>
      </c>
      <c r="K8" t="str">
        <f t="shared" si="3"/>
        <v>FAIL</v>
      </c>
      <c r="L8" t="str">
        <f t="shared" si="5"/>
        <v>DISTINCTION</v>
      </c>
      <c r="N8">
        <v>6.0</v>
      </c>
      <c r="O8" t="str">
        <f t="shared" si="4"/>
        <v> </v>
      </c>
    </row>
    <row r="9">
      <c r="A9">
        <v>2.5070521178E10</v>
      </c>
      <c r="B9" t="s">
        <v>26</v>
      </c>
      <c r="C9">
        <v>77.0</v>
      </c>
      <c r="D9">
        <v>65.0</v>
      </c>
      <c r="E9" s="4">
        <v>73.0</v>
      </c>
      <c r="F9">
        <v>72.0</v>
      </c>
      <c r="G9">
        <v>57.0</v>
      </c>
      <c r="H9" t="s">
        <v>20</v>
      </c>
      <c r="I9" t="str">
        <f t="shared" si="1"/>
        <v>344</v>
      </c>
      <c r="J9" t="str">
        <f t="shared" si="2"/>
        <v>68.8</v>
      </c>
      <c r="K9" t="str">
        <f t="shared" si="3"/>
        <v>FAIL</v>
      </c>
      <c r="L9" t="str">
        <f t="shared" si="5"/>
        <v>BELOW DISTINCTION</v>
      </c>
      <c r="N9">
        <v>7.0</v>
      </c>
      <c r="O9" t="str">
        <f t="shared" si="4"/>
        <v> </v>
      </c>
    </row>
    <row r="10">
      <c r="A10">
        <v>2.5070521182E10</v>
      </c>
      <c r="B10" t="s">
        <v>27</v>
      </c>
      <c r="C10">
        <v>76.0</v>
      </c>
      <c r="D10" s="4">
        <v>77.0</v>
      </c>
      <c r="E10">
        <v>54.0</v>
      </c>
      <c r="F10">
        <v>53.0</v>
      </c>
      <c r="G10">
        <v>74.0</v>
      </c>
      <c r="H10" t="s">
        <v>18</v>
      </c>
      <c r="I10" t="str">
        <f t="shared" si="1"/>
        <v>334</v>
      </c>
      <c r="J10" t="str">
        <f t="shared" si="2"/>
        <v>66.8</v>
      </c>
      <c r="K10" t="str">
        <f t="shared" si="3"/>
        <v>PASS</v>
      </c>
      <c r="L10" t="str">
        <f t="shared" si="5"/>
        <v>BELOW DISTINCTION</v>
      </c>
      <c r="N10">
        <v>8.0</v>
      </c>
      <c r="O10" t="str">
        <f t="shared" si="4"/>
        <v> </v>
      </c>
    </row>
    <row r="11">
      <c r="A11">
        <v>2.5070521183E10</v>
      </c>
      <c r="B11" t="s">
        <v>28</v>
      </c>
      <c r="C11" s="4">
        <v>89.0</v>
      </c>
      <c r="D11">
        <v>76.0</v>
      </c>
      <c r="E11">
        <v>43.0</v>
      </c>
      <c r="F11">
        <v>74.0</v>
      </c>
      <c r="G11">
        <v>56.0</v>
      </c>
      <c r="H11" t="s">
        <v>22</v>
      </c>
      <c r="I11" t="str">
        <f t="shared" si="1"/>
        <v>338</v>
      </c>
      <c r="J11" t="str">
        <f t="shared" si="2"/>
        <v>67.6</v>
      </c>
      <c r="K11" t="str">
        <f t="shared" si="3"/>
        <v>PASS</v>
      </c>
      <c r="L11" t="str">
        <f t="shared" si="5"/>
        <v>BELOW DISTINCTION</v>
      </c>
      <c r="N11">
        <v>9.0</v>
      </c>
      <c r="O11" t="str">
        <f t="shared" si="4"/>
        <v> </v>
      </c>
    </row>
    <row r="12">
      <c r="A12">
        <v>2.5070521184E10</v>
      </c>
      <c r="B12" t="s">
        <v>29</v>
      </c>
      <c r="C12">
        <v>74.0</v>
      </c>
      <c r="D12">
        <v>54.0</v>
      </c>
      <c r="E12">
        <v>52.0</v>
      </c>
      <c r="F12" s="4">
        <v>93.0</v>
      </c>
      <c r="G12">
        <v>75.0</v>
      </c>
      <c r="H12" t="s">
        <v>18</v>
      </c>
      <c r="I12" t="str">
        <f t="shared" si="1"/>
        <v>348</v>
      </c>
      <c r="J12" t="str">
        <f t="shared" si="2"/>
        <v>69.6</v>
      </c>
      <c r="K12" t="str">
        <f t="shared" si="3"/>
        <v>PASS</v>
      </c>
      <c r="L12" t="str">
        <f t="shared" si="5"/>
        <v>BELOW DISTINCTION</v>
      </c>
      <c r="N12">
        <v>10.0</v>
      </c>
      <c r="O12" t="str">
        <f t="shared" si="4"/>
        <v> </v>
      </c>
    </row>
    <row r="13">
      <c r="A13">
        <v>2.5070521173E10</v>
      </c>
      <c r="B13" t="s">
        <v>30</v>
      </c>
      <c r="C13">
        <v>37.0</v>
      </c>
      <c r="D13">
        <v>76.0</v>
      </c>
      <c r="E13">
        <v>63.0</v>
      </c>
      <c r="F13">
        <v>64.0</v>
      </c>
      <c r="G13">
        <v>85.0</v>
      </c>
      <c r="H13" t="s">
        <v>20</v>
      </c>
      <c r="I13" t="str">
        <f t="shared" si="1"/>
        <v>325</v>
      </c>
      <c r="J13" t="str">
        <f t="shared" si="2"/>
        <v>65</v>
      </c>
      <c r="K13" t="str">
        <f t="shared" si="3"/>
        <v>FAIL</v>
      </c>
      <c r="L13" t="str">
        <f t="shared" si="5"/>
        <v>BELOW DISTINCTION</v>
      </c>
      <c r="N13">
        <v>11.0</v>
      </c>
      <c r="O13" t="str">
        <f t="shared" si="4"/>
        <v> </v>
      </c>
    </row>
    <row r="14">
      <c r="A14">
        <v>2.5070521176E10</v>
      </c>
      <c r="B14" t="s">
        <v>31</v>
      </c>
      <c r="C14">
        <v>87.0</v>
      </c>
      <c r="D14">
        <v>54.0</v>
      </c>
      <c r="E14">
        <v>54.0</v>
      </c>
      <c r="F14">
        <v>32.0</v>
      </c>
      <c r="G14">
        <v>96.0</v>
      </c>
      <c r="H14" t="s">
        <v>18</v>
      </c>
      <c r="I14" t="str">
        <f t="shared" si="1"/>
        <v>323</v>
      </c>
      <c r="J14" t="str">
        <f t="shared" si="2"/>
        <v>64.6</v>
      </c>
      <c r="K14" t="str">
        <f t="shared" si="3"/>
        <v>PASS</v>
      </c>
      <c r="L14" t="str">
        <f t="shared" si="5"/>
        <v>BELOW DISTINCTION</v>
      </c>
      <c r="N14">
        <v>12.0</v>
      </c>
      <c r="O14" t="str">
        <f t="shared" si="4"/>
        <v> </v>
      </c>
    </row>
    <row r="15">
      <c r="A15">
        <v>2.5070521174E10</v>
      </c>
      <c r="B15" t="s">
        <v>32</v>
      </c>
      <c r="C15">
        <v>76.0</v>
      </c>
      <c r="D15">
        <v>43.0</v>
      </c>
      <c r="E15">
        <v>54.0</v>
      </c>
      <c r="F15">
        <v>53.0</v>
      </c>
      <c r="G15">
        <v>85.0</v>
      </c>
      <c r="H15" t="s">
        <v>15</v>
      </c>
      <c r="I15" t="str">
        <f t="shared" si="1"/>
        <v>311</v>
      </c>
      <c r="J15" t="str">
        <f t="shared" si="2"/>
        <v>62.2</v>
      </c>
      <c r="K15" t="str">
        <f t="shared" si="3"/>
        <v>PASS</v>
      </c>
      <c r="L15" t="str">
        <f t="shared" si="5"/>
        <v>BELOW DISTINCTION</v>
      </c>
      <c r="N15">
        <v>13.0</v>
      </c>
      <c r="O15" t="str">
        <f t="shared" si="4"/>
        <v> </v>
      </c>
    </row>
    <row r="16">
      <c r="A16">
        <v>2.5070521179E10</v>
      </c>
      <c r="B16" t="s">
        <v>33</v>
      </c>
      <c r="C16">
        <v>54.0</v>
      </c>
      <c r="D16">
        <v>66.0</v>
      </c>
      <c r="E16" s="4">
        <v>66.0</v>
      </c>
      <c r="F16">
        <v>45.0</v>
      </c>
      <c r="G16">
        <v>53.0</v>
      </c>
      <c r="H16" t="s">
        <v>15</v>
      </c>
      <c r="I16" t="str">
        <f t="shared" si="1"/>
        <v>284</v>
      </c>
      <c r="J16" t="str">
        <f t="shared" si="2"/>
        <v>56.8</v>
      </c>
      <c r="K16" t="str">
        <f t="shared" si="3"/>
        <v>PASS</v>
      </c>
      <c r="L16" t="str">
        <f t="shared" si="5"/>
        <v>BELOW DISTINCTION</v>
      </c>
      <c r="N16">
        <v>14.0</v>
      </c>
      <c r="O16" t="str">
        <f t="shared" si="4"/>
        <v> </v>
      </c>
    </row>
    <row r="17">
      <c r="A17">
        <v>2.5070521177E10</v>
      </c>
      <c r="B17" t="s">
        <v>34</v>
      </c>
      <c r="C17">
        <v>46.0</v>
      </c>
      <c r="D17">
        <v>34.0</v>
      </c>
      <c r="E17">
        <v>82.0</v>
      </c>
      <c r="F17">
        <v>62.0</v>
      </c>
      <c r="G17">
        <v>65.0</v>
      </c>
      <c r="H17" t="s">
        <v>15</v>
      </c>
      <c r="I17" t="str">
        <f t="shared" si="1"/>
        <v>289</v>
      </c>
      <c r="J17" t="str">
        <f t="shared" si="2"/>
        <v>57.8</v>
      </c>
      <c r="K17" t="str">
        <f t="shared" si="3"/>
        <v>PASS</v>
      </c>
      <c r="L17" t="str">
        <f t="shared" si="5"/>
        <v>BELOW DISTINCTION</v>
      </c>
      <c r="N17">
        <v>15.0</v>
      </c>
      <c r="O17" t="str">
        <f t="shared" si="4"/>
        <v> </v>
      </c>
    </row>
    <row r="18">
      <c r="A18">
        <v>2.5070521181E10</v>
      </c>
      <c r="B18" t="s">
        <v>35</v>
      </c>
      <c r="C18">
        <v>56.0</v>
      </c>
      <c r="D18">
        <v>56.0</v>
      </c>
      <c r="E18">
        <v>56.0</v>
      </c>
      <c r="F18">
        <v>75.0</v>
      </c>
      <c r="G18">
        <v>35.0</v>
      </c>
      <c r="H18" t="s">
        <v>20</v>
      </c>
      <c r="I18" t="str">
        <f t="shared" si="1"/>
        <v>278</v>
      </c>
      <c r="J18" t="str">
        <f t="shared" si="2"/>
        <v>55.6</v>
      </c>
      <c r="K18" t="str">
        <f t="shared" si="3"/>
        <v>FAIL</v>
      </c>
      <c r="L18" t="str">
        <f t="shared" si="5"/>
        <v>BELOW DISTINCTION</v>
      </c>
      <c r="N18">
        <v>16.0</v>
      </c>
      <c r="O18" t="str">
        <f t="shared" si="4"/>
        <v> </v>
      </c>
    </row>
    <row r="19">
      <c r="A19">
        <v>2.5070521182E10</v>
      </c>
      <c r="B19" t="s">
        <v>36</v>
      </c>
      <c r="C19">
        <v>4.0</v>
      </c>
      <c r="D19">
        <v>23.0</v>
      </c>
      <c r="E19">
        <v>52.0</v>
      </c>
      <c r="F19">
        <v>75.0</v>
      </c>
      <c r="G19">
        <v>63.0</v>
      </c>
      <c r="H19" t="s">
        <v>37</v>
      </c>
      <c r="I19" t="str">
        <f t="shared" si="1"/>
        <v>217</v>
      </c>
      <c r="J19" t="str">
        <f t="shared" si="2"/>
        <v>43.4</v>
      </c>
      <c r="K19" t="str">
        <f t="shared" si="3"/>
        <v>FAIL</v>
      </c>
      <c r="L19" t="str">
        <f t="shared" si="5"/>
        <v>BELOW DISTINCTION</v>
      </c>
      <c r="N19">
        <v>17.0</v>
      </c>
      <c r="O19" t="str">
        <f t="shared" si="4"/>
        <v> </v>
      </c>
    </row>
    <row r="20">
      <c r="L20" t="str">
        <f>COUNTIF(L2:L19, "DISTINCTION")</f>
        <v>6</v>
      </c>
    </row>
    <row r="21" ht="15.75" customHeight="1"/>
    <row r="22" ht="15.75" customHeight="1">
      <c r="A22" s="5"/>
      <c r="B22" s="5"/>
      <c r="C22" s="5"/>
      <c r="D22" s="5"/>
      <c r="E22" s="5"/>
      <c r="F22" s="5"/>
      <c r="G22" s="5"/>
      <c r="H22" s="5"/>
      <c r="I22" s="5" t="s">
        <v>38</v>
      </c>
      <c r="J22" s="5"/>
      <c r="K22" s="5"/>
      <c r="L22" s="5"/>
      <c r="M22" s="5"/>
      <c r="N22" s="5"/>
      <c r="O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ABE37" t="s">
        <v>39</v>
      </c>
    </row>
  </sheetData>
  <conditionalFormatting sqref="K2:K19">
    <cfRule type="cellIs" dxfId="0" priority="1" operator="equal">
      <formula>"FAIL"</formula>
    </cfRule>
  </conditionalFormatting>
  <conditionalFormatting sqref="K2:K19">
    <cfRule type="cellIs" dxfId="1" priority="2" operator="equal">
      <formula>"FAIL"</formula>
    </cfRule>
  </conditionalFormatting>
  <conditionalFormatting sqref="K2:K19">
    <cfRule type="cellIs" dxfId="2" priority="3" operator="equal">
      <formula>"PASS"</formula>
    </cfRule>
  </conditionalFormatting>
  <conditionalFormatting sqref="I2:I19">
    <cfRule type="cellIs" dxfId="3" priority="4" operator="lessThan">
      <formula>300</formula>
    </cfRule>
  </conditionalFormatting>
  <conditionalFormatting sqref="H2:H18">
    <cfRule type="cellIs" dxfId="4" priority="5" operator="equal">
      <formula>"A"</formula>
    </cfRule>
  </conditionalFormatting>
  <conditionalFormatting sqref="H4:H21">
    <cfRule type="cellIs" dxfId="5" priority="6" operator="equal">
      <formula>"B"</formula>
    </cfRule>
  </conditionalFormatting>
  <conditionalFormatting sqref="H5:H19">
    <cfRule type="cellIs" dxfId="6" priority="7" operator="equal">
      <formula>"E"</formula>
    </cfRule>
  </conditionalFormatting>
  <conditionalFormatting sqref="H7:H19">
    <cfRule type="cellIs" dxfId="7" priority="8" operator="equal">
      <formula>"F"</formula>
    </cfRule>
  </conditionalFormatting>
  <conditionalFormatting sqref="H10:H18">
    <cfRule type="cellIs" dxfId="8" priority="9" operator="equal">
      <formula>"C"</formula>
    </cfRule>
  </conditionalFormatting>
  <conditionalFormatting sqref="H18:H19">
    <cfRule type="cellIs" dxfId="9" priority="10" operator="equal">
      <formula>"D"</formula>
    </cfRule>
  </conditionalFormatting>
  <conditionalFormatting sqref="C2:G19">
    <cfRule type="cellIs" dxfId="10" priority="11" operator="lessThan">
      <formula>70</formula>
    </cfRule>
  </conditionalFormatting>
  <conditionalFormatting sqref="C2:G19">
    <cfRule type="cellIs" dxfId="11" priority="12" operator="lessThan">
      <formula>70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11" width="8.71"/>
  </cols>
  <sheetData>
    <row r="1">
      <c r="A1" s="1" t="s">
        <v>0</v>
      </c>
      <c r="B1" t="s">
        <v>1</v>
      </c>
      <c r="C1" t="s">
        <v>40</v>
      </c>
      <c r="D1" t="s">
        <v>10</v>
      </c>
    </row>
    <row r="2">
      <c r="A2">
        <v>2.5070521169E10</v>
      </c>
      <c r="B2" t="str">
        <f>VLOOKUP(A2,Sheet1!A2:N21,2,0)</f>
        <v>Adwait</v>
      </c>
      <c r="C2" t="str">
        <f>VLOOKUP(A2,Sheet1!A2:N21,9,0)</f>
        <v>436</v>
      </c>
      <c r="D2" t="str">
        <f>VLOOKUP(A2,Sheet1!A2:N21,11,0)</f>
        <v>PASS</v>
      </c>
    </row>
    <row r="3">
      <c r="A3">
        <v>2.5070521171E10</v>
      </c>
      <c r="B3" t="str">
        <f>VLOOKUP(A3,Sheet1!A3:N22,2,0)</f>
        <v>Shreyash</v>
      </c>
      <c r="C3" t="str">
        <f>VLOOKUP(A3,Sheet1!A3:N22,9,0)</f>
        <v>417</v>
      </c>
      <c r="D3" t="str">
        <f>VLOOKUP(A3,Sheet1!A3:N22,11,0)</f>
        <v>PASS</v>
      </c>
    </row>
    <row r="4">
      <c r="A4">
        <v>2.507052117E10</v>
      </c>
      <c r="B4" t="str">
        <f>VLOOKUP(A4,Sheet1!A4:N23,2,0)</f>
        <v>Om</v>
      </c>
      <c r="C4" t="str">
        <f>VLOOKUP(A4,Sheet1!A4:N23,9,0)</f>
        <v>400</v>
      </c>
      <c r="D4" t="str">
        <f>VLOOKUP(A4,Sheet1!A4:N23,11,0)</f>
        <v>PASS</v>
      </c>
    </row>
    <row r="5">
      <c r="A5">
        <v>2.5070521175E10</v>
      </c>
      <c r="B5" t="str">
        <f>VLOOKUP(A5,Sheet1!A5:N24,2,0)</f>
        <v>Aaditya</v>
      </c>
      <c r="C5" t="str">
        <f>VLOOKUP(A5,Sheet1!A5:N24,9,0)</f>
        <v>361</v>
      </c>
      <c r="D5" t="str">
        <f>VLOOKUP(A5,Sheet1!A5:N24,11,0)</f>
        <v>FAIL</v>
      </c>
    </row>
    <row r="6">
      <c r="A6">
        <v>2.507052118E10</v>
      </c>
      <c r="B6" t="str">
        <f>VLOOKUP(A6,Sheet1!A6:N25,2,0)</f>
        <v>Virat</v>
      </c>
      <c r="C6" t="str">
        <f>VLOOKUP(A6,Sheet1!A6:N25,9,0)</f>
        <v>384</v>
      </c>
      <c r="D6" t="str">
        <f>VLOOKUP(A6,Sheet1!A6:N25,11,0)</f>
        <v>PASS</v>
      </c>
    </row>
    <row r="7">
      <c r="A7">
        <v>2.5070521185E10</v>
      </c>
      <c r="B7" t="str">
        <f>VLOOKUP(A7,Sheet1!A7:N26,2,0)</f>
        <v>Karan</v>
      </c>
      <c r="C7" t="str">
        <f>VLOOKUP(A7,Sheet1!A7:N26,9,0)</f>
        <v>378</v>
      </c>
      <c r="D7" t="str">
        <f>VLOOKUP(A7,Sheet1!A7:N26,11,0)</f>
        <v>FAIL</v>
      </c>
    </row>
    <row r="8">
      <c r="A8">
        <v>2.5070521172E10</v>
      </c>
      <c r="B8" t="str">
        <f>VLOOKUP(A8,Sheet1!A8:N27,2,0)</f>
        <v>Mangaya</v>
      </c>
      <c r="C8" t="str">
        <f>VLOOKUP(A8,Sheet1!A8:N27,9,0)</f>
        <v>378</v>
      </c>
      <c r="D8" t="str">
        <f>VLOOKUP(A8,Sheet1!A8:N27,11,0)</f>
        <v>FAIL</v>
      </c>
    </row>
    <row r="9">
      <c r="A9">
        <v>2.5070521178E10</v>
      </c>
      <c r="B9" t="str">
        <f>VLOOKUP(A9,Sheet1!A9:N28,2,0)</f>
        <v>Kanhaiya</v>
      </c>
      <c r="C9" t="str">
        <f>VLOOKUP(A9,Sheet1!A9:N28,9,0)</f>
        <v>344</v>
      </c>
      <c r="D9" t="str">
        <f>VLOOKUP(A9,Sheet1!A9:N28,11,0)</f>
        <v>FAIL</v>
      </c>
    </row>
    <row r="10">
      <c r="A10">
        <v>2.5070521182E10</v>
      </c>
      <c r="B10" t="str">
        <f>VLOOKUP(A10,Sheet1!A10:N29,2,0)</f>
        <v>Arpan</v>
      </c>
      <c r="C10" t="str">
        <f>VLOOKUP(A10,Sheet1!A10:N29,9,0)</f>
        <v>334</v>
      </c>
      <c r="D10" t="str">
        <f>VLOOKUP(A10,Sheet1!A10:N29,11,0)</f>
        <v>PASS</v>
      </c>
    </row>
    <row r="11">
      <c r="A11">
        <v>2.5070521183E10</v>
      </c>
      <c r="B11" t="str">
        <f>VLOOKUP(A11,Sheet1!A11:N30,2,0)</f>
        <v>Raj</v>
      </c>
      <c r="C11" t="str">
        <f>VLOOKUP(A11,Sheet1!A11:N30,9,0)</f>
        <v>338</v>
      </c>
      <c r="D11" t="str">
        <f>VLOOKUP(A11,Sheet1!A11:N30,11,0)</f>
        <v>PASS</v>
      </c>
    </row>
    <row r="12">
      <c r="A12">
        <v>2.5070521184E10</v>
      </c>
      <c r="B12" t="str">
        <f>VLOOKUP(A12,Sheet1!A12:N31,2,0)</f>
        <v>Yash</v>
      </c>
      <c r="C12" t="str">
        <f>VLOOKUP(A12,Sheet1!A12:N31,9,0)</f>
        <v>348</v>
      </c>
      <c r="D12" t="str">
        <f>VLOOKUP(A12,Sheet1!A12:N31,11,0)</f>
        <v>PASS</v>
      </c>
    </row>
    <row r="13">
      <c r="A13">
        <v>2.5070521173E10</v>
      </c>
      <c r="B13" t="str">
        <f>VLOOKUP(A13,Sheet1!A13:N32,2,0)</f>
        <v>Salman</v>
      </c>
      <c r="C13" t="str">
        <f>VLOOKUP(A13,Sheet1!A13:N32,9,0)</f>
        <v>325</v>
      </c>
      <c r="D13" t="str">
        <f>VLOOKUP(A13,Sheet1!A13:N32,11,0)</f>
        <v>FAIL</v>
      </c>
    </row>
    <row r="14">
      <c r="A14">
        <v>2.5070521176E10</v>
      </c>
      <c r="B14" t="str">
        <f>VLOOKUP(A14,Sheet1!A14:N33,2,0)</f>
        <v>Pranjal</v>
      </c>
      <c r="C14" t="str">
        <f>VLOOKUP(A14,Sheet1!A14:N33,9,0)</f>
        <v>323</v>
      </c>
      <c r="D14" t="str">
        <f>VLOOKUP(A14,Sheet1!A14:N33,11,0)</f>
        <v>PASS</v>
      </c>
    </row>
    <row r="15">
      <c r="A15">
        <v>2.5070521174E10</v>
      </c>
      <c r="B15" t="str">
        <f>VLOOKUP(A15,Sheet1!A15:N34,2,0)</f>
        <v>Jumbo</v>
      </c>
      <c r="C15" t="str">
        <f>VLOOKUP(A15,Sheet1!A15:N34,9,0)</f>
        <v>311</v>
      </c>
      <c r="D15" t="str">
        <f>VLOOKUP(A15,Sheet1!A15:N34,11,0)</f>
        <v>PASS</v>
      </c>
    </row>
    <row r="16">
      <c r="A16">
        <v>2.5070521179E10</v>
      </c>
      <c r="B16" t="str">
        <f>VLOOKUP(A16,Sheet1!A16:N35,2,0)</f>
        <v>Harshad</v>
      </c>
      <c r="C16" t="str">
        <f>VLOOKUP(A16,Sheet1!A16:N35,9,0)</f>
        <v>284</v>
      </c>
      <c r="D16" t="str">
        <f>VLOOKUP(A16,Sheet1!A16:N35,11,0)</f>
        <v>PASS</v>
      </c>
    </row>
    <row r="17">
      <c r="A17">
        <v>2.5070521177E10</v>
      </c>
      <c r="B17" t="str">
        <f>VLOOKUP(A17,Sheet1!A17:N36,2,0)</f>
        <v>Aryan</v>
      </c>
      <c r="C17" t="str">
        <f>VLOOKUP(A17,Sheet1!A17:N36,9,0)</f>
        <v>289</v>
      </c>
      <c r="D17" t="str">
        <f>VLOOKUP(A17,Sheet1!A17:N36,11,0)</f>
        <v>PASS</v>
      </c>
    </row>
    <row r="18">
      <c r="A18">
        <v>2.5070521181E10</v>
      </c>
      <c r="B18" t="str">
        <f>VLOOKUP(A18,Sheet1!A18:N37,2,0)</f>
        <v>Shivam</v>
      </c>
      <c r="C18" t="str">
        <f>VLOOKUP(A18,Sheet1!A18:N37,9,0)</f>
        <v>278</v>
      </c>
      <c r="D18" t="str">
        <f>VLOOKUP(A18,Sheet1!A18:N37,11,0)</f>
        <v>FAIL</v>
      </c>
    </row>
    <row r="19">
      <c r="A19">
        <v>2.5070521182E10</v>
      </c>
      <c r="B19" t="str">
        <f>VLOOKUP(A19,Sheet1!A19:N38,2,0)</f>
        <v>Rahul</v>
      </c>
      <c r="C19" t="str">
        <f>VLOOKUP(A19,Sheet1!A19:N38,9,0)</f>
        <v>217</v>
      </c>
      <c r="D19" t="str">
        <f>VLOOKUP(A19,Sheet1!A19:N38,11,0)</f>
        <v>FAIL</v>
      </c>
    </row>
    <row r="21" ht="15.75" customHeight="1"/>
    <row r="22" ht="15.75" customHeight="1">
      <c r="A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2025-10-06T06:25:37Z</dcterms:created>
  <dc:creator>Dell</dc:creator>
  <cp:lastModifiedBy>Dell</cp:lastModifiedBy>
  <dcterms:modified xsi:type="dcterms:W3CDTF">2025-10-29T10:38:33Z</dcterms:modified>
</cp:coreProperties>
</file>